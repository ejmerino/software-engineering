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nan\Desktop\"/>
    </mc:Choice>
  </mc:AlternateContent>
  <bookViews>
    <workbookView xWindow="0" yWindow="0" windowWidth="17256" windowHeight="5256"/>
  </bookViews>
  <sheets>
    <sheet name="TRICIPAPELERIA" sheetId="2" r:id="rId1"/>
    <sheet name="MODELO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2" l="1"/>
  <c r="J19" i="2"/>
  <c r="H15" i="2"/>
  <c r="J15" i="2" s="1"/>
  <c r="L13" i="2"/>
  <c r="G24" i="2"/>
  <c r="G25" i="2"/>
  <c r="G26" i="2"/>
  <c r="H8" i="2"/>
  <c r="M9" i="2" l="1"/>
  <c r="H14" i="2"/>
  <c r="J14" i="2" s="1"/>
  <c r="H13" i="2"/>
  <c r="J13" i="2" s="1"/>
  <c r="M13" i="2" s="1"/>
  <c r="G23" i="2"/>
  <c r="G27" i="2" s="1"/>
  <c r="H9" i="2"/>
  <c r="J9" i="2" s="1"/>
  <c r="J8" i="2"/>
  <c r="M8" i="2" s="1"/>
  <c r="N8" i="2" s="1"/>
  <c r="H41" i="1"/>
  <c r="H42" i="1"/>
  <c r="G27" i="1"/>
  <c r="L54" i="1"/>
  <c r="H37" i="1"/>
  <c r="H39" i="1"/>
  <c r="H38" i="1"/>
  <c r="L32" i="1"/>
  <c r="M32" i="1" s="1"/>
  <c r="N52" i="1"/>
  <c r="O52" i="1" s="1"/>
  <c r="H40" i="1"/>
  <c r="N37" i="1"/>
  <c r="N25" i="1"/>
  <c r="H14" i="1"/>
  <c r="H13" i="1"/>
  <c r="H12" i="1"/>
  <c r="H11" i="1"/>
  <c r="H10" i="1"/>
  <c r="N13" i="1"/>
  <c r="N9" i="1"/>
  <c r="H9" i="1"/>
  <c r="H8" i="1"/>
  <c r="N9" i="2" l="1"/>
  <c r="J10" i="2"/>
  <c r="M14" i="2"/>
  <c r="M15" i="2"/>
  <c r="O8" i="2"/>
  <c r="H41" i="2"/>
  <c r="H43" i="2" s="1"/>
  <c r="J45" i="2" s="1"/>
  <c r="H44" i="1"/>
  <c r="J46" i="1" s="1"/>
  <c r="G26" i="1"/>
  <c r="G28" i="1" s="1"/>
  <c r="J21" i="1"/>
  <c r="J20" i="1"/>
  <c r="J19" i="1"/>
  <c r="J18" i="1"/>
  <c r="J17" i="1"/>
  <c r="J16" i="1"/>
  <c r="J15" i="1"/>
  <c r="J8" i="1"/>
  <c r="M16" i="2" l="1"/>
  <c r="J48" i="2" s="1"/>
  <c r="J50" i="2" s="1"/>
  <c r="J52" i="2" s="1"/>
  <c r="N10" i="2"/>
  <c r="J22" i="1"/>
  <c r="J30" i="1" l="1"/>
  <c r="J49" i="1" s="1"/>
  <c r="J51" i="1" l="1"/>
  <c r="J53" i="1" s="1"/>
</calcChain>
</file>

<file path=xl/sharedStrings.xml><?xml version="1.0" encoding="utf-8"?>
<sst xmlns="http://schemas.openxmlformats.org/spreadsheetml/2006/main" count="154" uniqueCount="87">
  <si>
    <t>COSTOS INDIRECTOS</t>
  </si>
  <si>
    <t>MATERIA PRIMA</t>
  </si>
  <si>
    <t>MANO OBRA</t>
  </si>
  <si>
    <t>COSTOS DIRECTOS</t>
  </si>
  <si>
    <t>% PARTICIPACIÓN</t>
  </si>
  <si>
    <t>SERVICIOS BASICOS</t>
  </si>
  <si>
    <t>BODEGA</t>
  </si>
  <si>
    <t>TELEFONO</t>
  </si>
  <si>
    <t>INTERNET</t>
  </si>
  <si>
    <t>COSTO TOTAL</t>
  </si>
  <si>
    <t>UNIDAD</t>
  </si>
  <si>
    <t>UTILIZACIÓN</t>
  </si>
  <si>
    <t>COSTO UNIDAD</t>
  </si>
  <si>
    <t>CANTIDAD</t>
  </si>
  <si>
    <t>COSTO UNITARIO</t>
  </si>
  <si>
    <t>COSTO/HORA</t>
  </si>
  <si>
    <t>HORAS</t>
  </si>
  <si>
    <t>PARTICIPACIÓN</t>
  </si>
  <si>
    <t>COSTO HORA/TAREA</t>
  </si>
  <si>
    <t>ARRIENDO</t>
  </si>
  <si>
    <t>MANO DE OBRA</t>
  </si>
  <si>
    <t>MATERIAL</t>
  </si>
  <si>
    <t>FORMATO ELABORACIÓN COSTO UNITARIO PRODUCTO</t>
  </si>
  <si>
    <t>RECURSO</t>
  </si>
  <si>
    <t>TOTAL COSTOS DIRECTOS</t>
  </si>
  <si>
    <t>DETALLE</t>
  </si>
  <si>
    <t>TOTAL COSTOS INDIRECTOS</t>
  </si>
  <si>
    <t>COSTO TOTAL (ANTES DE UTILIDAD) COSTOS DIRECTOS + COSTOS INDIRECTOS</t>
  </si>
  <si>
    <t>COSTO FINALPRECIO DE VENTA</t>
  </si>
  <si>
    <t>TRANSPORTE  (OPCIONAL)</t>
  </si>
  <si>
    <t>Pedreria</t>
  </si>
  <si>
    <t>(kit 2 pulseras)</t>
  </si>
  <si>
    <t xml:space="preserve">Hilo </t>
  </si>
  <si>
    <t>rollo 25 pulseras</t>
  </si>
  <si>
    <t xml:space="preserve"> </t>
  </si>
  <si>
    <t>USD</t>
  </si>
  <si>
    <t>RESULTADO</t>
  </si>
  <si>
    <t>X</t>
  </si>
  <si>
    <t>Ganchos</t>
  </si>
  <si>
    <t>funda 24 ganchos</t>
  </si>
  <si>
    <t>Resina</t>
  </si>
  <si>
    <t>Tarro (50)</t>
  </si>
  <si>
    <t>Argollas</t>
  </si>
  <si>
    <t>Funda (30 )</t>
  </si>
  <si>
    <t>Carton Prensado</t>
  </si>
  <si>
    <t>Pliego (20 )</t>
  </si>
  <si>
    <t xml:space="preserve">Logos </t>
  </si>
  <si>
    <t>Paquete (15)</t>
  </si>
  <si>
    <t>PULSERA</t>
  </si>
  <si>
    <t>HORA</t>
  </si>
  <si>
    <t>PEDIDOS</t>
  </si>
  <si>
    <t>Computador + Impresora</t>
  </si>
  <si>
    <t>COSTO IMPRESORA +COMPUTADOR</t>
  </si>
  <si>
    <t>MESES</t>
  </si>
  <si>
    <t>DIA</t>
  </si>
  <si>
    <t>UTILIDAD (30%)</t>
  </si>
  <si>
    <t>PLAN 30 DIAS</t>
  </si>
  <si>
    <t>AGUA</t>
  </si>
  <si>
    <t>ENERGIA ELECTRICA</t>
  </si>
  <si>
    <t>COSTO SB</t>
  </si>
  <si>
    <t>CANTIDAD PRODUCTO</t>
  </si>
  <si>
    <t>OPERADOR PRODUCCIÓN</t>
  </si>
  <si>
    <t>OPERADOR LOGÍSTICO</t>
  </si>
  <si>
    <t>SERVICIO</t>
  </si>
  <si>
    <t>PAQUETE</t>
  </si>
  <si>
    <t>3 AÑOS</t>
  </si>
  <si>
    <t>PRECIO VENTA</t>
  </si>
  <si>
    <t>UTILIDAD</t>
  </si>
  <si>
    <t>DIFERENCIA VALOR</t>
  </si>
  <si>
    <t>VIDA UTIL</t>
  </si>
  <si>
    <t>MANTENIMEINTO COMPUTADOR</t>
  </si>
  <si>
    <t>COSTO TOTAL LISTA DE UTILES (KIT)</t>
  </si>
  <si>
    <t>USD MES</t>
  </si>
  <si>
    <t>USD DIARIO</t>
  </si>
  <si>
    <t>CUADRO PARA ESTABLECER VOLUMEN DE VENTA PARA PUNTO DE EQUILIBRIO</t>
  </si>
  <si>
    <t>HOSTING VERCEL MENSUAL</t>
  </si>
  <si>
    <t>HOSTING GOOGLE FIREBASE STORAGE MENSUAL</t>
  </si>
  <si>
    <t>ACCESO A INTERNET</t>
  </si>
  <si>
    <t>PCs de Equipos de Desarrollo</t>
  </si>
  <si>
    <t>QA</t>
  </si>
  <si>
    <t>JEFE DE PROYECTO</t>
  </si>
  <si>
    <t>TESTER</t>
  </si>
  <si>
    <t>DESARROLLADORES DE SOFTWARE</t>
  </si>
  <si>
    <t>1 AÑO</t>
  </si>
  <si>
    <t>SaaS</t>
  </si>
  <si>
    <t>Plataforma Web de Planificación Educativa</t>
  </si>
  <si>
    <t>COSTO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</si>
</sst>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75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0" xfId="0" applyBorder="1"/>
    <xf numFmtId="164" fontId="1" fillId="0" borderId="0" xfId="0" applyNumberFormat="1" applyFont="1" applyBorder="1"/>
    <xf numFmtId="0" fontId="1" fillId="0" borderId="0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9" fontId="0" fillId="0" borderId="11" xfId="0" applyNumberFormat="1" applyBorder="1"/>
    <xf numFmtId="9" fontId="0" fillId="0" borderId="12" xfId="0" applyNumberFormat="1" applyBorder="1"/>
    <xf numFmtId="0" fontId="1" fillId="0" borderId="18" xfId="0" applyFont="1" applyBorder="1"/>
    <xf numFmtId="0" fontId="1" fillId="0" borderId="21" xfId="0" applyFont="1" applyBorder="1"/>
    <xf numFmtId="0" fontId="1" fillId="0" borderId="3" xfId="0" applyFont="1" applyBorder="1"/>
    <xf numFmtId="0" fontId="1" fillId="0" borderId="19" xfId="0" applyFont="1" applyBorder="1"/>
    <xf numFmtId="0" fontId="1" fillId="0" borderId="22" xfId="0" applyFont="1" applyBorder="1"/>
    <xf numFmtId="0" fontId="1" fillId="3" borderId="0" xfId="0" applyFont="1" applyFill="1" applyBorder="1" applyAlignment="1"/>
    <xf numFmtId="0" fontId="0" fillId="0" borderId="23" xfId="0" applyBorder="1"/>
    <xf numFmtId="0" fontId="0" fillId="0" borderId="24" xfId="0" applyBorder="1"/>
    <xf numFmtId="164" fontId="0" fillId="0" borderId="24" xfId="0" applyNumberFormat="1" applyBorder="1"/>
    <xf numFmtId="164" fontId="1" fillId="2" borderId="3" xfId="0" applyNumberFormat="1" applyFont="1" applyFill="1" applyBorder="1"/>
    <xf numFmtId="164" fontId="2" fillId="2" borderId="3" xfId="0" applyNumberFormat="1" applyFont="1" applyFill="1" applyBorder="1"/>
    <xf numFmtId="164" fontId="2" fillId="2" borderId="2" xfId="0" applyNumberFormat="1" applyFont="1" applyFill="1" applyBorder="1"/>
    <xf numFmtId="0" fontId="6" fillId="2" borderId="0" xfId="0" applyFont="1" applyFill="1"/>
    <xf numFmtId="164" fontId="2" fillId="2" borderId="7" xfId="0" applyNumberFormat="1" applyFont="1" applyFill="1" applyBorder="1"/>
    <xf numFmtId="164" fontId="0" fillId="4" borderId="15" xfId="0" applyNumberFormat="1" applyFill="1" applyBorder="1"/>
    <xf numFmtId="9" fontId="0" fillId="4" borderId="10" xfId="0" applyNumberFormat="1" applyFill="1" applyBorder="1"/>
    <xf numFmtId="164" fontId="0" fillId="0" borderId="0" xfId="0" applyNumberFormat="1"/>
    <xf numFmtId="164" fontId="0" fillId="0" borderId="1" xfId="0" applyNumberFormat="1" applyBorder="1"/>
    <xf numFmtId="0" fontId="0" fillId="5" borderId="11" xfId="0" applyFill="1" applyBorder="1"/>
    <xf numFmtId="0" fontId="0" fillId="5" borderId="13" xfId="0" applyFill="1" applyBorder="1"/>
    <xf numFmtId="0" fontId="0" fillId="5" borderId="1" xfId="0" applyFill="1" applyBorder="1"/>
    <xf numFmtId="164" fontId="0" fillId="6" borderId="11" xfId="0" applyNumberFormat="1" applyFill="1" applyBorder="1"/>
    <xf numFmtId="164" fontId="0" fillId="6" borderId="1" xfId="0" applyNumberFormat="1" applyFill="1" applyBorder="1"/>
    <xf numFmtId="0" fontId="0" fillId="0" borderId="1" xfId="0" applyBorder="1" applyAlignment="1">
      <alignment horizontal="center"/>
    </xf>
    <xf numFmtId="9" fontId="0" fillId="0" borderId="11" xfId="1" applyFont="1" applyBorder="1" applyAlignment="1">
      <alignment horizontal="right"/>
    </xf>
    <xf numFmtId="164" fontId="0" fillId="6" borderId="0" xfId="0" applyNumberFormat="1" applyFill="1"/>
    <xf numFmtId="164" fontId="0" fillId="6" borderId="15" xfId="0" applyNumberFormat="1" applyFill="1" applyBorder="1"/>
    <xf numFmtId="9" fontId="0" fillId="0" borderId="1" xfId="1" applyFont="1" applyBorder="1"/>
    <xf numFmtId="0" fontId="0" fillId="6" borderId="0" xfId="0" applyFill="1"/>
    <xf numFmtId="0" fontId="0" fillId="0" borderId="28" xfId="0" applyBorder="1"/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1" xfId="0" applyBorder="1"/>
    <xf numFmtId="0" fontId="0" fillId="6" borderId="26" xfId="0" applyFill="1" applyBorder="1"/>
    <xf numFmtId="0" fontId="0" fillId="6" borderId="27" xfId="0" applyFill="1" applyBorder="1"/>
    <xf numFmtId="0" fontId="0" fillId="6" borderId="1" xfId="0" applyFill="1" applyBorder="1"/>
    <xf numFmtId="9" fontId="0" fillId="6" borderId="0" xfId="1" applyFont="1" applyFill="1"/>
    <xf numFmtId="9" fontId="0" fillId="0" borderId="1" xfId="1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32" xfId="0" applyFont="1" applyFill="1" applyBorder="1"/>
    <xf numFmtId="0" fontId="0" fillId="0" borderId="30" xfId="0" applyBorder="1"/>
    <xf numFmtId="0" fontId="1" fillId="2" borderId="34" xfId="0" applyFont="1" applyFill="1" applyBorder="1"/>
    <xf numFmtId="0" fontId="1" fillId="0" borderId="12" xfId="0" applyFont="1" applyBorder="1"/>
    <xf numFmtId="3" fontId="1" fillId="6" borderId="17" xfId="0" applyNumberFormat="1" applyFont="1" applyFill="1" applyBorder="1"/>
    <xf numFmtId="164" fontId="0" fillId="0" borderId="0" xfId="0" applyNumberFormat="1" applyBorder="1"/>
    <xf numFmtId="0" fontId="1" fillId="0" borderId="35" xfId="0" applyFont="1" applyBorder="1"/>
    <xf numFmtId="0" fontId="1" fillId="0" borderId="32" xfId="0" applyFont="1" applyBorder="1"/>
    <xf numFmtId="0" fontId="1" fillId="0" borderId="34" xfId="0" applyFont="1" applyBorder="1"/>
    <xf numFmtId="164" fontId="0" fillId="7" borderId="1" xfId="0" applyNumberFormat="1" applyFill="1" applyBorder="1"/>
    <xf numFmtId="0" fontId="1" fillId="0" borderId="36" xfId="0" applyFont="1" applyBorder="1"/>
    <xf numFmtId="164" fontId="1" fillId="0" borderId="15" xfId="0" applyNumberFormat="1" applyFont="1" applyBorder="1"/>
    <xf numFmtId="9" fontId="1" fillId="6" borderId="1" xfId="0" applyNumberFormat="1" applyFont="1" applyFill="1" applyBorder="1"/>
    <xf numFmtId="9" fontId="1" fillId="0" borderId="1" xfId="0" applyNumberFormat="1" applyFont="1" applyBorder="1"/>
    <xf numFmtId="0" fontId="0" fillId="0" borderId="1" xfId="0" applyFill="1" applyBorder="1"/>
    <xf numFmtId="164" fontId="0" fillId="0" borderId="28" xfId="0" applyNumberFormat="1" applyBorder="1"/>
    <xf numFmtId="164" fontId="0" fillId="0" borderId="29" xfId="0" applyNumberFormat="1" applyBorder="1"/>
    <xf numFmtId="9" fontId="0" fillId="0" borderId="29" xfId="1" applyFont="1" applyBorder="1"/>
    <xf numFmtId="164" fontId="0" fillId="0" borderId="38" xfId="0" applyNumberFormat="1" applyBorder="1"/>
    <xf numFmtId="2" fontId="1" fillId="8" borderId="0" xfId="0" applyNumberFormat="1" applyFont="1" applyFill="1"/>
    <xf numFmtId="0" fontId="0" fillId="0" borderId="38" xfId="0" applyBorder="1"/>
    <xf numFmtId="9" fontId="0" fillId="0" borderId="38" xfId="0" applyNumberFormat="1" applyBorder="1"/>
    <xf numFmtId="0" fontId="1" fillId="5" borderId="26" xfId="0" applyFont="1" applyFill="1" applyBorder="1"/>
    <xf numFmtId="0" fontId="1" fillId="5" borderId="37" xfId="0" applyFont="1" applyFill="1" applyBorder="1"/>
    <xf numFmtId="164" fontId="1" fillId="5" borderId="37" xfId="0" applyNumberFormat="1" applyFont="1" applyFill="1" applyBorder="1"/>
    <xf numFmtId="9" fontId="1" fillId="5" borderId="37" xfId="0" applyNumberFormat="1" applyFont="1" applyFill="1" applyBorder="1"/>
    <xf numFmtId="164" fontId="1" fillId="5" borderId="27" xfId="0" applyNumberFormat="1" applyFont="1" applyFill="1" applyBorder="1"/>
    <xf numFmtId="0" fontId="0" fillId="5" borderId="28" xfId="0" applyFill="1" applyBorder="1"/>
    <xf numFmtId="164" fontId="0" fillId="5" borderId="1" xfId="0" applyNumberFormat="1" applyFill="1" applyBorder="1"/>
    <xf numFmtId="9" fontId="0" fillId="5" borderId="1" xfId="1" applyFont="1" applyFill="1" applyBorder="1" applyAlignment="1">
      <alignment horizontal="right"/>
    </xf>
    <xf numFmtId="164" fontId="1" fillId="5" borderId="29" xfId="0" applyNumberFormat="1" applyFont="1" applyFill="1" applyBorder="1"/>
    <xf numFmtId="0" fontId="2" fillId="0" borderId="35" xfId="0" applyFont="1" applyBorder="1"/>
    <xf numFmtId="0" fontId="2" fillId="0" borderId="32" xfId="0" applyFont="1" applyBorder="1"/>
    <xf numFmtId="0" fontId="2" fillId="0" borderId="34" xfId="0" applyFont="1" applyBorder="1"/>
    <xf numFmtId="0" fontId="2" fillId="0" borderId="39" xfId="0" applyFont="1" applyBorder="1"/>
    <xf numFmtId="0" fontId="2" fillId="0" borderId="40" xfId="0" applyFont="1" applyBorder="1"/>
    <xf numFmtId="164" fontId="0" fillId="0" borderId="31" xfId="0" applyNumberFormat="1" applyBorder="1"/>
    <xf numFmtId="0" fontId="0" fillId="6" borderId="38" xfId="0" applyFill="1" applyBorder="1"/>
    <xf numFmtId="9" fontId="0" fillId="0" borderId="0" xfId="0" applyNumberFormat="1" applyBorder="1"/>
    <xf numFmtId="164" fontId="3" fillId="5" borderId="20" xfId="0" applyNumberFormat="1" applyFont="1" applyFill="1" applyBorder="1"/>
    <xf numFmtId="164" fontId="3" fillId="2" borderId="25" xfId="0" applyNumberFormat="1" applyFont="1" applyFill="1" applyBorder="1"/>
    <xf numFmtId="0" fontId="0" fillId="0" borderId="42" xfId="0" applyBorder="1"/>
    <xf numFmtId="0" fontId="0" fillId="0" borderId="2" xfId="0" applyBorder="1"/>
    <xf numFmtId="164" fontId="0" fillId="0" borderId="2" xfId="0" applyNumberFormat="1" applyBorder="1"/>
    <xf numFmtId="9" fontId="0" fillId="0" borderId="2" xfId="0" applyNumberFormat="1" applyBorder="1"/>
    <xf numFmtId="164" fontId="0" fillId="0" borderId="43" xfId="0" applyNumberFormat="1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1" fillId="5" borderId="46" xfId="0" applyFont="1" applyFill="1" applyBorder="1"/>
    <xf numFmtId="164" fontId="0" fillId="7" borderId="47" xfId="0" applyNumberFormat="1" applyFill="1" applyBorder="1"/>
    <xf numFmtId="164" fontId="0" fillId="7" borderId="48" xfId="0" applyNumberFormat="1" applyFill="1" applyBorder="1"/>
    <xf numFmtId="164" fontId="2" fillId="8" borderId="3" xfId="0" applyNumberFormat="1" applyFont="1" applyFill="1" applyBorder="1"/>
    <xf numFmtId="4" fontId="0" fillId="0" borderId="16" xfId="0" applyNumberFormat="1" applyBorder="1"/>
    <xf numFmtId="0" fontId="1" fillId="9" borderId="10" xfId="0" applyFont="1" applyFill="1" applyBorder="1"/>
    <xf numFmtId="0" fontId="1" fillId="9" borderId="33" xfId="0" applyFont="1" applyFill="1" applyBorder="1"/>
    <xf numFmtId="0" fontId="0" fillId="0" borderId="3" xfId="0" applyBorder="1"/>
    <xf numFmtId="164" fontId="3" fillId="6" borderId="2" xfId="0" applyNumberFormat="1" applyFont="1" applyFill="1" applyBorder="1"/>
    <xf numFmtId="0" fontId="1" fillId="0" borderId="26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0" fontId="1" fillId="3" borderId="0" xfId="0" applyFont="1" applyFill="1" applyBorder="1"/>
    <xf numFmtId="164" fontId="0" fillId="3" borderId="0" xfId="0" applyNumberFormat="1" applyFill="1" applyBorder="1"/>
    <xf numFmtId="9" fontId="0" fillId="3" borderId="0" xfId="1" applyFont="1" applyFill="1" applyBorder="1"/>
    <xf numFmtId="9" fontId="0" fillId="3" borderId="0" xfId="1" applyFont="1" applyFill="1" applyBorder="1" applyAlignment="1">
      <alignment horizontal="center"/>
    </xf>
    <xf numFmtId="0" fontId="6" fillId="2" borderId="0" xfId="0" applyFont="1" applyFill="1" applyBorder="1"/>
    <xf numFmtId="0" fontId="8" fillId="9" borderId="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left"/>
    </xf>
    <xf numFmtId="0" fontId="3" fillId="6" borderId="44" xfId="0" applyFont="1" applyFill="1" applyBorder="1" applyAlignment="1">
      <alignment horizontal="left"/>
    </xf>
    <xf numFmtId="0" fontId="3" fillId="6" borderId="45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0" fontId="2" fillId="5" borderId="18" xfId="0" applyFont="1" applyFill="1" applyBorder="1" applyAlignment="1">
      <alignment horizontal="left"/>
    </xf>
    <xf numFmtId="0" fontId="2" fillId="5" borderId="19" xfId="0" applyFont="1" applyFill="1" applyBorder="1" applyAlignment="1">
      <alignment horizontal="left"/>
    </xf>
    <xf numFmtId="0" fontId="2" fillId="5" borderId="20" xfId="0" applyFont="1" applyFill="1" applyBorder="1" applyAlignment="1">
      <alignment horizontal="left"/>
    </xf>
    <xf numFmtId="164" fontId="1" fillId="0" borderId="28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29" xfId="0" applyNumberFormat="1" applyFont="1" applyBorder="1" applyAlignment="1">
      <alignment horizontal="right"/>
    </xf>
    <xf numFmtId="0" fontId="1" fillId="5" borderId="26" xfId="0" applyFont="1" applyFill="1" applyBorder="1" applyAlignment="1">
      <alignment horizontal="right"/>
    </xf>
    <xf numFmtId="0" fontId="1" fillId="5" borderId="37" xfId="0" applyFont="1" applyFill="1" applyBorder="1" applyAlignment="1">
      <alignment horizontal="right"/>
    </xf>
    <xf numFmtId="0" fontId="1" fillId="5" borderId="27" xfId="0" applyFont="1" applyFill="1" applyBorder="1" applyAlignment="1">
      <alignment horizontal="right"/>
    </xf>
    <xf numFmtId="0" fontId="3" fillId="2" borderId="35" xfId="0" applyFont="1" applyFill="1" applyBorder="1" applyAlignment="1">
      <alignment horizontal="left"/>
    </xf>
    <xf numFmtId="0" fontId="3" fillId="2" borderId="34" xfId="0" applyFont="1" applyFill="1" applyBorder="1" applyAlignment="1">
      <alignment horizontal="left"/>
    </xf>
    <xf numFmtId="0" fontId="3" fillId="2" borderId="41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164" fontId="5" fillId="5" borderId="18" xfId="0" applyNumberFormat="1" applyFont="1" applyFill="1" applyBorder="1" applyAlignment="1">
      <alignment horizontal="right"/>
    </xf>
    <xf numFmtId="164" fontId="5" fillId="5" borderId="19" xfId="0" applyNumberFormat="1" applyFont="1" applyFill="1" applyBorder="1" applyAlignment="1">
      <alignment horizontal="right"/>
    </xf>
    <xf numFmtId="164" fontId="5" fillId="5" borderId="20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49" xfId="0" applyBorder="1"/>
    <xf numFmtId="0" fontId="0" fillId="6" borderId="50" xfId="0" applyFill="1" applyBorder="1"/>
    <xf numFmtId="164" fontId="0" fillId="7" borderId="51" xfId="0" applyNumberFormat="1" applyFill="1" applyBorder="1"/>
    <xf numFmtId="0" fontId="0" fillId="0" borderId="28" xfId="0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5"/>
  <sheetViews>
    <sheetView tabSelected="1" zoomScale="80" workbookViewId="0">
      <selection activeCell="J50" sqref="J50"/>
    </sheetView>
  </sheetViews>
  <sheetFormatPr baseColWidth="10" defaultRowHeight="14.4" x14ac:dyDescent="0.3"/>
  <cols>
    <col min="1" max="1" width="35.109375" customWidth="1"/>
    <col min="2" max="2" width="15.77734375" bestFit="1" customWidth="1"/>
    <col min="4" max="4" width="41.5546875" bestFit="1" customWidth="1"/>
    <col min="5" max="5" width="9.88671875" bestFit="1" customWidth="1"/>
    <col min="6" max="6" width="18.77734375" bestFit="1" customWidth="1"/>
    <col min="7" max="7" width="20.21875" bestFit="1" customWidth="1"/>
    <col min="8" max="8" width="14" bestFit="1" customWidth="1"/>
    <col min="9" max="9" width="13" bestFit="1" customWidth="1"/>
    <col min="10" max="10" width="15.6640625" bestFit="1" customWidth="1"/>
    <col min="11" max="11" width="10.44140625" customWidth="1"/>
    <col min="12" max="12" width="8.77734375" bestFit="1" customWidth="1"/>
    <col min="13" max="13" width="17.88671875" customWidth="1"/>
    <col min="14" max="14" width="19.33203125" customWidth="1"/>
    <col min="15" max="15" width="16.5546875" customWidth="1"/>
    <col min="16" max="16" width="16.44140625" customWidth="1"/>
    <col min="18" max="18" width="15.33203125" customWidth="1"/>
  </cols>
  <sheetData>
    <row r="1" spans="1:21" ht="15" thickBot="1" x14ac:dyDescent="0.35"/>
    <row r="2" spans="1:21" ht="21.6" thickBot="1" x14ac:dyDescent="0.45">
      <c r="A2" s="150" t="s">
        <v>22</v>
      </c>
      <c r="B2" s="151"/>
      <c r="C2" s="151"/>
      <c r="D2" s="151"/>
      <c r="E2" s="151"/>
      <c r="F2" s="151"/>
      <c r="G2" s="151"/>
      <c r="H2" s="151"/>
      <c r="I2" s="151"/>
      <c r="J2" s="152"/>
    </row>
    <row r="3" spans="1:21" ht="15" thickBot="1" x14ac:dyDescent="0.35"/>
    <row r="4" spans="1:21" ht="18.600000000000001" thickBot="1" x14ac:dyDescent="0.4">
      <c r="A4" s="153" t="s">
        <v>3</v>
      </c>
      <c r="B4" s="154"/>
      <c r="C4" s="154"/>
      <c r="D4" s="154"/>
      <c r="E4" s="154"/>
      <c r="F4" s="154"/>
      <c r="G4" s="154"/>
      <c r="H4" s="154"/>
      <c r="I4" s="154"/>
      <c r="J4" s="155"/>
    </row>
    <row r="5" spans="1:21" ht="15" thickBot="1" x14ac:dyDescent="0.35"/>
    <row r="6" spans="1:21" ht="18.600000000000001" thickBot="1" x14ac:dyDescent="0.4">
      <c r="B6" t="s">
        <v>4</v>
      </c>
      <c r="D6" s="156" t="s">
        <v>1</v>
      </c>
      <c r="E6" s="157"/>
      <c r="F6" s="157"/>
      <c r="G6" s="157"/>
      <c r="H6" s="157"/>
      <c r="I6" s="157"/>
      <c r="J6" s="158"/>
      <c r="M6" s="127" t="s">
        <v>74</v>
      </c>
      <c r="N6" s="127"/>
      <c r="O6" s="127"/>
      <c r="R6" s="108"/>
      <c r="S6" s="108"/>
      <c r="T6" s="108"/>
      <c r="U6" s="108"/>
    </row>
    <row r="7" spans="1:21" ht="16.2" thickBot="1" x14ac:dyDescent="0.35">
      <c r="A7" t="s">
        <v>3</v>
      </c>
      <c r="D7" s="93" t="s">
        <v>21</v>
      </c>
      <c r="E7" s="94" t="s">
        <v>13</v>
      </c>
      <c r="F7" s="95" t="s">
        <v>10</v>
      </c>
      <c r="G7" s="94" t="s">
        <v>14</v>
      </c>
      <c r="H7" s="96" t="s">
        <v>9</v>
      </c>
      <c r="I7" s="97" t="s">
        <v>11</v>
      </c>
      <c r="J7" s="94" t="s">
        <v>12</v>
      </c>
      <c r="M7" s="119" t="s">
        <v>66</v>
      </c>
      <c r="N7" s="120" t="s">
        <v>68</v>
      </c>
      <c r="O7" s="121" t="s">
        <v>67</v>
      </c>
      <c r="P7" s="3"/>
      <c r="Q7" s="3"/>
      <c r="R7" s="108"/>
      <c r="S7" s="108"/>
      <c r="T7" s="108"/>
      <c r="U7" s="108"/>
    </row>
    <row r="8" spans="1:21" x14ac:dyDescent="0.3">
      <c r="A8" s="1" t="s">
        <v>1</v>
      </c>
      <c r="B8" s="2">
        <v>1</v>
      </c>
      <c r="D8" s="84" t="s">
        <v>75</v>
      </c>
      <c r="E8" s="85">
        <v>1</v>
      </c>
      <c r="F8" s="85">
        <v>1</v>
      </c>
      <c r="G8" s="86">
        <v>18.38</v>
      </c>
      <c r="H8" s="86">
        <f t="shared" ref="H8:H9" si="0">+G8*E8</f>
        <v>18.38</v>
      </c>
      <c r="I8" s="87">
        <v>1</v>
      </c>
      <c r="J8" s="88">
        <f>+I8*H8</f>
        <v>18.38</v>
      </c>
      <c r="M8" s="77">
        <f>+J8+0.1</f>
        <v>18.48</v>
      </c>
      <c r="N8" s="44">
        <f t="shared" ref="N8:N9" si="1">+M8-H8</f>
        <v>0.10000000000000142</v>
      </c>
      <c r="O8" s="79">
        <f>1-H8/M8</f>
        <v>5.4112554112555333E-3</v>
      </c>
      <c r="P8" s="3"/>
      <c r="Q8" s="3"/>
      <c r="R8" s="122"/>
      <c r="S8" s="108"/>
      <c r="T8" s="108"/>
      <c r="U8" s="108"/>
    </row>
    <row r="9" spans="1:21" ht="15" thickBot="1" x14ac:dyDescent="0.35">
      <c r="A9" s="1" t="s">
        <v>2</v>
      </c>
      <c r="B9" s="2">
        <v>1</v>
      </c>
      <c r="D9" s="89" t="s">
        <v>76</v>
      </c>
      <c r="E9" s="42">
        <v>1</v>
      </c>
      <c r="F9" s="42">
        <v>1</v>
      </c>
      <c r="G9" s="90">
        <v>23</v>
      </c>
      <c r="H9" s="90">
        <f t="shared" si="0"/>
        <v>23</v>
      </c>
      <c r="I9" s="91">
        <v>1</v>
      </c>
      <c r="J9" s="92">
        <f t="shared" ref="J9" si="2">+I9*H9</f>
        <v>23</v>
      </c>
      <c r="M9" s="77">
        <f t="shared" ref="M9" si="3">+G9*1.22</f>
        <v>28.06</v>
      </c>
      <c r="N9" s="44">
        <f t="shared" si="1"/>
        <v>5.0599999999999987</v>
      </c>
      <c r="O9" s="79">
        <v>0.22</v>
      </c>
      <c r="P9" s="3"/>
      <c r="Q9" s="3"/>
      <c r="R9" s="123"/>
      <c r="S9" s="108"/>
      <c r="T9" s="123"/>
      <c r="U9" s="108"/>
    </row>
    <row r="10" spans="1:21" ht="18.600000000000001" thickBot="1" x14ac:dyDescent="0.4">
      <c r="D10" s="138" t="s">
        <v>71</v>
      </c>
      <c r="E10" s="139"/>
      <c r="F10" s="139"/>
      <c r="G10" s="139"/>
      <c r="H10" s="139"/>
      <c r="I10" s="140"/>
      <c r="J10" s="101">
        <f>SUM(J8:J9)</f>
        <v>41.379999999999995</v>
      </c>
      <c r="M10" s="38" t="s">
        <v>34</v>
      </c>
      <c r="N10" s="118">
        <f>SUM(N8:N9)</f>
        <v>5.16</v>
      </c>
      <c r="P10" s="3"/>
      <c r="Q10" s="3"/>
      <c r="R10" s="108"/>
      <c r="S10" s="108"/>
      <c r="T10" s="108"/>
      <c r="U10" s="108"/>
    </row>
    <row r="11" spans="1:21" ht="15" thickBot="1" x14ac:dyDescent="0.35">
      <c r="D11" s="3"/>
      <c r="E11" s="3"/>
      <c r="F11" s="3"/>
      <c r="G11" s="67"/>
      <c r="H11" s="67"/>
      <c r="I11" s="100"/>
      <c r="J11" s="67"/>
      <c r="M11" t="s">
        <v>34</v>
      </c>
    </row>
    <row r="12" spans="1:21" ht="18.600000000000001" thickBot="1" x14ac:dyDescent="0.4">
      <c r="D12" s="135" t="s">
        <v>63</v>
      </c>
      <c r="E12" s="136"/>
      <c r="F12" s="136"/>
      <c r="G12" s="136"/>
      <c r="H12" s="136"/>
      <c r="I12" s="136"/>
      <c r="J12" s="137"/>
      <c r="K12" s="117" t="s">
        <v>69</v>
      </c>
      <c r="L12" s="115" t="s">
        <v>72</v>
      </c>
      <c r="M12" s="116" t="s">
        <v>73</v>
      </c>
    </row>
    <row r="13" spans="1:21" ht="15" thickBot="1" x14ac:dyDescent="0.35">
      <c r="D13" s="103" t="s">
        <v>77</v>
      </c>
      <c r="E13" s="104">
        <v>1</v>
      </c>
      <c r="F13" s="104">
        <v>1</v>
      </c>
      <c r="G13" s="105">
        <v>35</v>
      </c>
      <c r="H13" s="105">
        <f>+G13*E13</f>
        <v>35</v>
      </c>
      <c r="I13" s="106">
        <v>1</v>
      </c>
      <c r="J13" s="107">
        <f t="shared" ref="J13:J15" si="4">+I13*H13</f>
        <v>35</v>
      </c>
      <c r="K13" s="117"/>
      <c r="L13" s="14">
        <f>G13</f>
        <v>35</v>
      </c>
      <c r="M13" s="114">
        <f>+L13/21</f>
        <v>1.6666666666666667</v>
      </c>
    </row>
    <row r="14" spans="1:21" ht="15" thickBot="1" x14ac:dyDescent="0.35">
      <c r="D14" s="51" t="s">
        <v>78</v>
      </c>
      <c r="E14" s="1">
        <v>1</v>
      </c>
      <c r="F14" s="1" t="s">
        <v>64</v>
      </c>
      <c r="G14" s="39">
        <v>3500</v>
      </c>
      <c r="H14" s="39">
        <f>+G14</f>
        <v>3500</v>
      </c>
      <c r="I14" s="2">
        <v>1</v>
      </c>
      <c r="J14" s="78">
        <f t="shared" si="4"/>
        <v>3500</v>
      </c>
      <c r="K14" s="117" t="s">
        <v>65</v>
      </c>
      <c r="L14" s="14">
        <v>15</v>
      </c>
      <c r="M14" s="114">
        <f t="shared" ref="M14:M15" si="5">+L14/21</f>
        <v>0.7142857142857143</v>
      </c>
    </row>
    <row r="15" spans="1:21" ht="29.4" thickBot="1" x14ac:dyDescent="0.35">
      <c r="D15" s="174" t="s">
        <v>85</v>
      </c>
      <c r="E15" s="1">
        <v>1</v>
      </c>
      <c r="F15" s="1" t="s">
        <v>84</v>
      </c>
      <c r="G15" s="39">
        <v>5000</v>
      </c>
      <c r="H15" s="39">
        <f>+G15</f>
        <v>5000</v>
      </c>
      <c r="I15" s="2">
        <v>1</v>
      </c>
      <c r="J15" s="78">
        <f t="shared" si="4"/>
        <v>5000</v>
      </c>
      <c r="K15" s="117" t="s">
        <v>83</v>
      </c>
      <c r="L15" s="14">
        <v>0</v>
      </c>
      <c r="M15" s="114">
        <f t="shared" si="5"/>
        <v>0</v>
      </c>
    </row>
    <row r="16" spans="1:21" x14ac:dyDescent="0.3">
      <c r="D16" s="51"/>
      <c r="E16" s="1"/>
      <c r="F16" s="1"/>
      <c r="G16" s="39"/>
      <c r="H16" s="39"/>
      <c r="I16" s="2"/>
      <c r="J16" s="78"/>
      <c r="M16" s="81">
        <f>SUM(M13:M15)</f>
        <v>2.3809523809523809</v>
      </c>
    </row>
    <row r="17" spans="1:41" x14ac:dyDescent="0.3">
      <c r="D17" s="51"/>
      <c r="E17" s="1"/>
      <c r="F17" s="1"/>
      <c r="G17" s="39"/>
      <c r="H17" s="39"/>
      <c r="I17" s="2"/>
      <c r="J17" s="78"/>
    </row>
    <row r="18" spans="1:41" ht="15" thickBot="1" x14ac:dyDescent="0.35">
      <c r="D18" s="63"/>
      <c r="E18" s="82"/>
      <c r="F18" s="82"/>
      <c r="G18" s="80"/>
      <c r="H18" s="80"/>
      <c r="I18" s="83"/>
      <c r="J18" s="9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ht="18.600000000000001" thickBot="1" x14ac:dyDescent="0.4">
      <c r="D19" s="138" t="s">
        <v>86</v>
      </c>
      <c r="E19" s="139"/>
      <c r="F19" s="139"/>
      <c r="G19" s="139"/>
      <c r="H19" s="139"/>
      <c r="I19" s="140"/>
      <c r="J19" s="102">
        <f>SUM(J8:J18)</f>
        <v>8617.76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ht="15" thickBot="1" x14ac:dyDescent="0.35">
      <c r="D20" s="3"/>
      <c r="E20" s="3"/>
      <c r="F20" s="3"/>
      <c r="G20" s="3"/>
      <c r="H20" s="3"/>
      <c r="I20" s="3"/>
      <c r="J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ht="18.600000000000001" thickBot="1" x14ac:dyDescent="0.4">
      <c r="D21" s="147" t="s">
        <v>20</v>
      </c>
      <c r="E21" s="148"/>
      <c r="F21" s="148"/>
      <c r="G21" s="148"/>
      <c r="H21" s="148"/>
      <c r="I21" s="148"/>
      <c r="J21" s="149"/>
      <c r="K21" s="108"/>
      <c r="L21" s="108"/>
      <c r="M21" s="108"/>
      <c r="N21" s="108"/>
      <c r="O21" s="108"/>
      <c r="P21" s="108"/>
      <c r="Q21" s="108"/>
      <c r="R21" s="108"/>
      <c r="S21" s="108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3">
      <c r="D22" s="84" t="s">
        <v>23</v>
      </c>
      <c r="E22" s="85" t="s">
        <v>16</v>
      </c>
      <c r="F22" s="110" t="s">
        <v>15</v>
      </c>
      <c r="G22" s="144" t="s">
        <v>9</v>
      </c>
      <c r="H22" s="145"/>
      <c r="I22" s="145"/>
      <c r="J22" s="146"/>
      <c r="K22" s="108"/>
      <c r="L22" s="108"/>
      <c r="M22" s="108"/>
      <c r="N22" s="108"/>
      <c r="O22" s="108"/>
      <c r="P22" s="108"/>
      <c r="Q22" s="108"/>
      <c r="R22" s="108"/>
      <c r="S22" s="108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3">
      <c r="D23" s="51" t="s">
        <v>80</v>
      </c>
      <c r="E23" s="57">
        <v>100</v>
      </c>
      <c r="F23" s="111">
        <v>13</v>
      </c>
      <c r="G23" s="141">
        <f>+F23*E23</f>
        <v>1300</v>
      </c>
      <c r="H23" s="142"/>
      <c r="I23" s="142"/>
      <c r="J23" s="143"/>
      <c r="K23" s="109"/>
      <c r="L23" s="109"/>
      <c r="M23" s="109"/>
      <c r="N23" s="109"/>
      <c r="O23" s="109"/>
      <c r="P23" s="109"/>
      <c r="Q23" s="108"/>
      <c r="R23" s="108"/>
      <c r="S23" s="108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3">
      <c r="D24" s="171" t="s">
        <v>82</v>
      </c>
      <c r="E24" s="172">
        <v>100</v>
      </c>
      <c r="F24" s="173">
        <v>20</v>
      </c>
      <c r="G24" s="141">
        <f t="shared" ref="G24:G26" si="6">+F24*E24</f>
        <v>2000</v>
      </c>
      <c r="H24" s="142"/>
      <c r="I24" s="142"/>
      <c r="J24" s="143"/>
      <c r="K24" s="109"/>
      <c r="L24" s="109"/>
      <c r="M24" s="109"/>
      <c r="N24" s="109"/>
      <c r="O24" s="109"/>
      <c r="P24" s="109"/>
      <c r="Q24" s="108"/>
      <c r="R24" s="108"/>
      <c r="S24" s="108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3">
      <c r="D25" s="171" t="s">
        <v>81</v>
      </c>
      <c r="E25" s="172">
        <v>50</v>
      </c>
      <c r="F25" s="173">
        <v>12</v>
      </c>
      <c r="G25" s="141">
        <f t="shared" si="6"/>
        <v>600</v>
      </c>
      <c r="H25" s="142"/>
      <c r="I25" s="142"/>
      <c r="J25" s="143"/>
      <c r="K25" s="109"/>
      <c r="L25" s="109"/>
      <c r="M25" s="109"/>
      <c r="N25" s="109"/>
      <c r="O25" s="109"/>
      <c r="P25" s="109"/>
      <c r="Q25" s="108"/>
      <c r="R25" s="108"/>
      <c r="S25" s="108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ht="15" thickBot="1" x14ac:dyDescent="0.35">
      <c r="D26" s="63" t="s">
        <v>79</v>
      </c>
      <c r="E26" s="99">
        <v>50</v>
      </c>
      <c r="F26" s="112">
        <v>12</v>
      </c>
      <c r="G26" s="141">
        <f t="shared" si="6"/>
        <v>600</v>
      </c>
      <c r="H26" s="142"/>
      <c r="I26" s="142"/>
      <c r="J26" s="143"/>
      <c r="K26" s="61"/>
      <c r="L26" s="61"/>
      <c r="M26" s="61"/>
      <c r="N26" s="61"/>
      <c r="O26" s="61"/>
      <c r="P26" s="61"/>
      <c r="Q26" s="108"/>
      <c r="R26" s="108"/>
      <c r="S26" s="108"/>
      <c r="T26" s="108"/>
      <c r="U26" s="108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ht="18.600000000000001" thickBot="1" x14ac:dyDescent="0.4">
      <c r="G27" s="165">
        <f>SUM(G23:J26)</f>
        <v>4500</v>
      </c>
      <c r="H27" s="166"/>
      <c r="I27" s="166"/>
      <c r="J27" s="167"/>
      <c r="L27" s="3"/>
      <c r="M27" s="3"/>
      <c r="N27" s="3"/>
      <c r="O27" s="3"/>
      <c r="P27" s="3"/>
      <c r="Q27" s="108"/>
      <c r="R27" s="108"/>
      <c r="S27" s="108"/>
      <c r="T27" s="108"/>
      <c r="U27" s="108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ht="15" thickBot="1" x14ac:dyDescent="0.35">
      <c r="J28" s="4"/>
      <c r="L28" s="3"/>
      <c r="M28" s="3"/>
      <c r="N28" s="3"/>
      <c r="O28" s="3"/>
      <c r="P28" s="3"/>
      <c r="Q28" s="108"/>
      <c r="R28" s="108"/>
      <c r="S28" s="108"/>
      <c r="T28" s="108"/>
      <c r="U28" s="108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ht="18.600000000000001" thickBot="1" x14ac:dyDescent="0.4">
      <c r="D29" s="159" t="s">
        <v>24</v>
      </c>
      <c r="E29" s="160"/>
      <c r="F29" s="160"/>
      <c r="G29" s="160"/>
      <c r="H29" s="160"/>
      <c r="I29" s="161"/>
      <c r="J29" s="113">
        <f>J19+J10+G27</f>
        <v>13159.14</v>
      </c>
      <c r="L29" s="3"/>
      <c r="M29" s="3"/>
      <c r="N29" s="3"/>
      <c r="O29" s="3"/>
      <c r="P29" s="3"/>
      <c r="Q29" s="108"/>
      <c r="R29" s="108"/>
      <c r="S29" s="108"/>
      <c r="T29" s="108"/>
      <c r="U29" s="108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x14ac:dyDescent="0.3">
      <c r="J30" s="4"/>
      <c r="L30" s="3"/>
      <c r="M30" s="3"/>
      <c r="N30" s="3"/>
      <c r="O30" s="3"/>
      <c r="P30" s="3"/>
      <c r="Q30" s="108"/>
      <c r="R30" s="108"/>
      <c r="S30" s="108"/>
      <c r="T30" s="108"/>
      <c r="U30" s="108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ht="15" thickBot="1" x14ac:dyDescent="0.35">
      <c r="J31" s="4"/>
      <c r="L31" s="3"/>
      <c r="M31" s="3"/>
      <c r="N31" s="3"/>
      <c r="O31" s="3"/>
      <c r="P31" s="3"/>
      <c r="Q31" s="108"/>
      <c r="R31" s="108"/>
      <c r="S31" s="108"/>
      <c r="T31" s="108"/>
      <c r="U31" s="108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ht="18.600000000000001" thickBot="1" x14ac:dyDescent="0.4">
      <c r="A32" s="162" t="s">
        <v>0</v>
      </c>
      <c r="B32" s="163"/>
      <c r="C32" s="163"/>
      <c r="D32" s="163"/>
      <c r="E32" s="163"/>
      <c r="F32" s="163"/>
      <c r="G32" s="163"/>
      <c r="H32" s="163"/>
      <c r="I32" s="163"/>
      <c r="J32" s="164"/>
      <c r="K32" s="34"/>
      <c r="L32" s="126"/>
      <c r="M32" s="126"/>
      <c r="N32" s="126"/>
      <c r="O32" s="126"/>
      <c r="P32" s="126"/>
      <c r="Q32" s="108"/>
      <c r="R32" s="108"/>
      <c r="S32" s="108"/>
      <c r="T32" s="108"/>
      <c r="U32" s="108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ht="15" thickBot="1" x14ac:dyDescent="0.35">
      <c r="L33" s="3"/>
      <c r="M33" s="3"/>
      <c r="N33" s="3"/>
      <c r="O33" s="3"/>
      <c r="P33" s="3"/>
      <c r="Q33" s="108"/>
      <c r="R33" s="108"/>
      <c r="S33" s="108"/>
      <c r="T33" s="108"/>
      <c r="U33" s="108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3">
      <c r="A34" t="s">
        <v>0</v>
      </c>
      <c r="D34" s="62" t="s">
        <v>25</v>
      </c>
      <c r="E34" s="64" t="s">
        <v>13</v>
      </c>
      <c r="F34" s="62" t="s">
        <v>18</v>
      </c>
      <c r="G34" s="64" t="s">
        <v>17</v>
      </c>
      <c r="H34" s="62"/>
      <c r="L34" s="3"/>
      <c r="M34" s="3"/>
      <c r="N34" s="3"/>
      <c r="O34" s="3"/>
      <c r="P34" s="3"/>
      <c r="Q34" s="108"/>
      <c r="R34" s="108"/>
      <c r="S34" s="108"/>
      <c r="T34" s="108"/>
      <c r="U34" s="108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3">
      <c r="A35" s="1" t="s">
        <v>5</v>
      </c>
      <c r="B35" s="2">
        <v>0.1</v>
      </c>
      <c r="D35" s="1" t="s">
        <v>70</v>
      </c>
      <c r="E35" s="1">
        <v>1</v>
      </c>
      <c r="F35" s="71">
        <v>1</v>
      </c>
      <c r="G35" s="74">
        <v>0.01</v>
      </c>
      <c r="H35" s="39" t="s">
        <v>34</v>
      </c>
      <c r="L35" s="3"/>
      <c r="M35" s="3"/>
      <c r="N35" s="3"/>
      <c r="O35" s="3"/>
      <c r="P35" s="3"/>
      <c r="Q35" s="109"/>
      <c r="R35" s="109"/>
      <c r="S35" s="108"/>
      <c r="T35" s="108"/>
      <c r="U35" s="108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x14ac:dyDescent="0.3">
      <c r="A36" s="1" t="s">
        <v>6</v>
      </c>
      <c r="B36" s="2">
        <v>0.05</v>
      </c>
      <c r="E36" s="1">
        <v>1</v>
      </c>
      <c r="F36" s="39">
        <v>1</v>
      </c>
      <c r="G36" s="75"/>
      <c r="H36" s="39"/>
      <c r="L36" s="3"/>
      <c r="M36" s="3"/>
      <c r="N36" s="3"/>
      <c r="O36" s="3"/>
      <c r="P36" s="3"/>
      <c r="Q36" s="109"/>
      <c r="R36" s="109"/>
      <c r="S36" s="108"/>
      <c r="T36" s="108"/>
      <c r="U36" s="108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x14ac:dyDescent="0.3">
      <c r="A37" s="1"/>
      <c r="B37" s="2"/>
      <c r="D37" s="1"/>
      <c r="E37" s="1"/>
      <c r="F37" s="39"/>
      <c r="G37" s="75"/>
      <c r="H37" s="39"/>
      <c r="L37" s="3"/>
      <c r="M37" s="3"/>
      <c r="N37" s="3"/>
      <c r="O37" s="3"/>
      <c r="P37" s="3"/>
      <c r="Q37" s="109"/>
      <c r="R37" s="109"/>
      <c r="S37" s="108"/>
      <c r="T37" s="108"/>
      <c r="U37" s="108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x14ac:dyDescent="0.3">
      <c r="A38" s="1"/>
      <c r="B38" s="2"/>
      <c r="D38" s="1"/>
      <c r="E38" s="1"/>
      <c r="F38" s="39"/>
      <c r="G38" s="75"/>
      <c r="H38" s="39"/>
      <c r="L38" s="3"/>
      <c r="M38" s="3"/>
      <c r="N38" s="3"/>
      <c r="O38" s="3"/>
      <c r="P38" s="3"/>
      <c r="Q38" s="109"/>
      <c r="R38" s="109"/>
      <c r="S38" s="108"/>
      <c r="T38" s="108"/>
      <c r="U38" s="108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3">
      <c r="A39" s="1" t="s">
        <v>7</v>
      </c>
      <c r="B39" s="2">
        <v>0.1</v>
      </c>
      <c r="D39" s="1"/>
      <c r="E39" s="1"/>
      <c r="F39" s="39"/>
      <c r="G39" s="75"/>
      <c r="H39" s="39"/>
      <c r="L39" s="3"/>
      <c r="M39" s="3"/>
      <c r="N39" s="3"/>
      <c r="O39" s="3"/>
      <c r="P39" s="3"/>
      <c r="Q39" s="108"/>
      <c r="R39" s="108"/>
      <c r="S39" s="108"/>
      <c r="T39" s="108"/>
      <c r="U39" s="108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3">
      <c r="A40" s="1"/>
      <c r="B40" s="2"/>
      <c r="D40" s="76"/>
      <c r="E40" s="1"/>
      <c r="F40" s="39"/>
      <c r="G40" s="75"/>
      <c r="H40" s="39"/>
      <c r="L40" s="3"/>
      <c r="M40" s="3"/>
      <c r="N40" s="3"/>
      <c r="O40" s="3"/>
      <c r="P40" s="3"/>
      <c r="Q40" s="108"/>
      <c r="R40" s="108"/>
      <c r="S40" s="108"/>
      <c r="T40" s="108"/>
      <c r="U40" s="108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3">
      <c r="A41" s="1" t="s">
        <v>8</v>
      </c>
      <c r="B41" s="2">
        <v>0.1</v>
      </c>
      <c r="D41" s="5"/>
      <c r="F41" t="s">
        <v>34</v>
      </c>
      <c r="G41" s="72" t="s">
        <v>59</v>
      </c>
      <c r="H41" s="73">
        <f>SUM(H35:H40)</f>
        <v>0</v>
      </c>
      <c r="L41" s="3"/>
      <c r="M41" s="3"/>
      <c r="N41" s="3"/>
      <c r="O41" s="3"/>
      <c r="P41" s="3"/>
      <c r="Q41" s="108"/>
      <c r="R41" s="108"/>
      <c r="S41" s="108"/>
      <c r="T41" s="108"/>
      <c r="U41" s="108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ht="15" thickBot="1" x14ac:dyDescent="0.35">
      <c r="A42" s="3"/>
      <c r="B42" s="2"/>
      <c r="D42" s="5"/>
      <c r="G42" s="65" t="s">
        <v>60</v>
      </c>
      <c r="H42" s="66">
        <v>1</v>
      </c>
      <c r="L42" s="3"/>
      <c r="M42" s="3"/>
      <c r="N42" s="3"/>
      <c r="O42" s="3"/>
      <c r="P42" s="3"/>
      <c r="Q42" s="108"/>
      <c r="R42" s="108"/>
      <c r="S42" s="108"/>
      <c r="T42" s="108"/>
      <c r="U42" s="108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x14ac:dyDescent="0.3">
      <c r="A43" s="3"/>
      <c r="B43" s="2"/>
      <c r="D43" s="5"/>
      <c r="H43" s="4">
        <f>+H41/H42</f>
        <v>0</v>
      </c>
      <c r="L43" s="3"/>
      <c r="M43" s="3"/>
      <c r="N43" s="3"/>
      <c r="O43" s="3"/>
      <c r="P43" s="3"/>
      <c r="Q43" s="108"/>
      <c r="R43" s="108"/>
      <c r="S43" s="108"/>
      <c r="T43" s="108"/>
      <c r="U43" s="108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ht="15" thickBot="1" x14ac:dyDescent="0.35">
      <c r="B44" s="1"/>
      <c r="L44" s="3"/>
      <c r="M44" s="3"/>
      <c r="N44" s="3"/>
      <c r="O44" s="3"/>
      <c r="P44" s="3"/>
      <c r="Q44" s="109"/>
      <c r="R44" s="125"/>
      <c r="S44" s="108"/>
      <c r="T44" s="108"/>
      <c r="U44" s="108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ht="16.2" thickBot="1" x14ac:dyDescent="0.35">
      <c r="B45" s="3"/>
      <c r="D45" s="128" t="s">
        <v>26</v>
      </c>
      <c r="E45" s="129"/>
      <c r="F45" s="129"/>
      <c r="G45" s="129"/>
      <c r="H45" s="129"/>
      <c r="I45" s="130"/>
      <c r="J45" s="32">
        <f>+H43</f>
        <v>0</v>
      </c>
      <c r="L45" s="3"/>
      <c r="M45" s="3"/>
      <c r="N45" s="3"/>
      <c r="O45" s="3"/>
      <c r="P45" s="3"/>
      <c r="Q45" s="109"/>
      <c r="R45" s="109"/>
      <c r="S45" s="124"/>
      <c r="T45" s="108"/>
      <c r="U45" s="108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x14ac:dyDescent="0.3">
      <c r="L46" s="3"/>
      <c r="M46" s="3"/>
      <c r="N46" s="3"/>
      <c r="O46" s="3"/>
      <c r="P46" s="3"/>
      <c r="Q46" s="108"/>
      <c r="R46" s="108"/>
      <c r="S46" s="108"/>
      <c r="T46" s="108"/>
      <c r="U46" s="108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ht="15" thickBot="1" x14ac:dyDescent="0.35">
      <c r="B47" s="4"/>
      <c r="L47" s="3"/>
      <c r="M47" s="3"/>
      <c r="N47" s="3"/>
      <c r="O47" s="3"/>
      <c r="P47" s="3"/>
      <c r="Q47" s="108"/>
      <c r="R47" s="108"/>
      <c r="S47" s="108"/>
      <c r="T47" s="108"/>
      <c r="U47" s="108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ht="16.2" thickBot="1" x14ac:dyDescent="0.35">
      <c r="A48" s="131" t="s">
        <v>27</v>
      </c>
      <c r="B48" s="132"/>
      <c r="C48" s="132"/>
      <c r="D48" s="132"/>
      <c r="E48" s="132"/>
      <c r="F48" s="132"/>
      <c r="G48" s="132"/>
      <c r="H48" s="132"/>
      <c r="I48" s="133"/>
      <c r="J48" s="35">
        <f>+J45+J29</f>
        <v>13159.14</v>
      </c>
      <c r="L48" s="3"/>
      <c r="M48" s="3"/>
      <c r="N48" s="3"/>
      <c r="O48" s="3"/>
      <c r="P48" s="3"/>
      <c r="Q48" s="108"/>
      <c r="R48" s="108"/>
      <c r="S48" s="108"/>
      <c r="T48" s="108"/>
      <c r="U48" s="108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ht="15" thickBot="1" x14ac:dyDescent="0.35">
      <c r="B49" s="4"/>
      <c r="L49" s="3"/>
      <c r="M49" s="3"/>
      <c r="N49" s="3"/>
      <c r="O49" s="3"/>
      <c r="P49" s="3"/>
      <c r="Q49" s="108"/>
      <c r="R49" s="108"/>
      <c r="S49" s="108"/>
      <c r="T49" s="108"/>
      <c r="U49" s="108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ht="16.2" thickBot="1" x14ac:dyDescent="0.35">
      <c r="A50" s="131" t="s">
        <v>55</v>
      </c>
      <c r="B50" s="132"/>
      <c r="C50" s="132"/>
      <c r="D50" s="132"/>
      <c r="E50" s="132"/>
      <c r="F50" s="132"/>
      <c r="G50" s="132"/>
      <c r="H50" s="132"/>
      <c r="I50" s="134"/>
      <c r="J50" s="32">
        <f>+J48*0.3</f>
        <v>3947.7419999999997</v>
      </c>
      <c r="L50" s="3"/>
      <c r="M50" s="3"/>
      <c r="N50" s="3"/>
      <c r="O50" s="3"/>
      <c r="P50" s="3"/>
      <c r="Q50" s="108"/>
      <c r="R50" s="109"/>
      <c r="S50" s="109"/>
      <c r="T50" s="109"/>
      <c r="U50" s="108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ht="15" thickBot="1" x14ac:dyDescent="0.35">
      <c r="L51" s="3"/>
      <c r="M51" s="3"/>
      <c r="N51" s="3"/>
      <c r="O51" s="3"/>
      <c r="P51" s="3"/>
      <c r="Q51" s="108"/>
      <c r="R51" s="108"/>
      <c r="S51" s="108"/>
      <c r="T51" s="108"/>
      <c r="U51" s="108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ht="16.2" thickBot="1" x14ac:dyDescent="0.35">
      <c r="A52" s="131" t="s">
        <v>28</v>
      </c>
      <c r="B52" s="132"/>
      <c r="C52" s="132"/>
      <c r="D52" s="132"/>
      <c r="E52" s="132"/>
      <c r="F52" s="132"/>
      <c r="G52" s="132"/>
      <c r="H52" s="132"/>
      <c r="I52" s="134"/>
      <c r="J52" s="31">
        <f>+J50+J48</f>
        <v>17106.881999999998</v>
      </c>
      <c r="L52" s="3"/>
      <c r="M52" s="3"/>
      <c r="N52" s="3"/>
      <c r="O52" s="3"/>
      <c r="P52" s="3"/>
      <c r="Q52" s="108"/>
      <c r="R52" s="108"/>
      <c r="S52" s="108"/>
      <c r="T52" s="108"/>
      <c r="U52" s="108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ht="15" thickBot="1" x14ac:dyDescent="0.35">
      <c r="L53" s="3"/>
      <c r="M53" s="3"/>
      <c r="N53" s="3"/>
      <c r="O53" s="3"/>
      <c r="P53" s="3"/>
      <c r="Q53" s="108"/>
      <c r="R53" s="108"/>
      <c r="S53" s="108"/>
      <c r="T53" s="108"/>
      <c r="U53" s="108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ht="16.2" thickBot="1" x14ac:dyDescent="0.35">
      <c r="A54" s="131" t="s">
        <v>29</v>
      </c>
      <c r="B54" s="132"/>
      <c r="C54" s="132"/>
      <c r="D54" s="132"/>
      <c r="E54" s="132"/>
      <c r="F54" s="132"/>
      <c r="G54" s="132"/>
      <c r="H54" s="132"/>
      <c r="I54" s="134"/>
      <c r="L54" s="3"/>
      <c r="M54" s="3"/>
      <c r="N54" s="3"/>
      <c r="O54" s="3"/>
      <c r="P54" s="3"/>
      <c r="Q54" s="108"/>
      <c r="R54" s="108"/>
      <c r="S54" s="108"/>
      <c r="T54" s="108"/>
      <c r="U54" s="108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x14ac:dyDescent="0.3">
      <c r="L55" s="3"/>
      <c r="M55" s="3"/>
      <c r="N55" s="3"/>
      <c r="O55" s="3"/>
      <c r="P55" s="3"/>
      <c r="Q55" s="108"/>
      <c r="R55" s="108"/>
      <c r="S55" s="108"/>
      <c r="T55" s="108"/>
      <c r="U55" s="108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x14ac:dyDescent="0.3">
      <c r="L56" s="3"/>
      <c r="M56" s="3"/>
      <c r="N56" s="3"/>
      <c r="O56" s="3"/>
      <c r="P56" s="3"/>
      <c r="Q56" s="108"/>
      <c r="R56" s="108"/>
      <c r="S56" s="108"/>
      <c r="T56" s="108"/>
      <c r="U56" s="108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x14ac:dyDescent="0.3">
      <c r="L57" s="3"/>
      <c r="M57" s="3"/>
      <c r="N57" s="3"/>
      <c r="O57" s="3"/>
      <c r="P57" s="3"/>
      <c r="Q57" s="108"/>
      <c r="R57" s="108"/>
      <c r="S57" s="108"/>
      <c r="T57" s="108"/>
      <c r="U57" s="108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x14ac:dyDescent="0.3">
      <c r="L58" s="3"/>
      <c r="M58" s="3"/>
      <c r="N58" s="3"/>
      <c r="O58" s="3"/>
      <c r="P58" s="3"/>
      <c r="Q58" s="108"/>
      <c r="R58" s="108"/>
      <c r="S58" s="108"/>
      <c r="T58" s="108"/>
      <c r="U58" s="108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x14ac:dyDescent="0.3">
      <c r="L59" s="3"/>
      <c r="M59" s="3"/>
      <c r="N59" s="3"/>
      <c r="O59" s="3"/>
      <c r="P59" s="3"/>
      <c r="Q59" s="108"/>
      <c r="R59" s="108"/>
      <c r="S59" s="108"/>
      <c r="T59" s="108"/>
      <c r="U59" s="108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x14ac:dyDescent="0.3">
      <c r="L60" s="3"/>
      <c r="M60" s="3"/>
      <c r="N60" s="3"/>
      <c r="O60" s="3"/>
      <c r="P60" s="3"/>
      <c r="Q60" s="108"/>
      <c r="R60" s="108"/>
      <c r="S60" s="108"/>
      <c r="T60" s="108"/>
      <c r="U60" s="108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x14ac:dyDescent="0.3">
      <c r="L61" s="3"/>
      <c r="M61" s="3"/>
      <c r="N61" s="3"/>
      <c r="O61" s="3"/>
      <c r="P61" s="3"/>
      <c r="Q61" s="108"/>
      <c r="R61" s="108"/>
      <c r="S61" s="108"/>
      <c r="T61" s="108"/>
      <c r="U61" s="108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x14ac:dyDescent="0.3">
      <c r="L62" s="3"/>
      <c r="M62" s="3"/>
      <c r="N62" s="3"/>
      <c r="O62" s="3"/>
      <c r="P62" s="3"/>
      <c r="Q62" s="108"/>
      <c r="R62" s="108"/>
      <c r="S62" s="108"/>
      <c r="T62" s="108"/>
      <c r="U62" s="108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x14ac:dyDescent="0.3">
      <c r="L63" s="3"/>
      <c r="M63" s="3"/>
      <c r="N63" s="3"/>
      <c r="O63" s="3"/>
      <c r="P63" s="3"/>
      <c r="Q63" s="108"/>
      <c r="R63" s="108"/>
      <c r="S63" s="108"/>
      <c r="T63" s="108"/>
      <c r="U63" s="108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x14ac:dyDescent="0.3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2:41" x14ac:dyDescent="0.3"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</sheetData>
  <mergeCells count="21">
    <mergeCell ref="A2:J2"/>
    <mergeCell ref="A4:J4"/>
    <mergeCell ref="D6:J6"/>
    <mergeCell ref="D29:I29"/>
    <mergeCell ref="A32:J32"/>
    <mergeCell ref="D10:I10"/>
    <mergeCell ref="G26:J26"/>
    <mergeCell ref="G27:J27"/>
    <mergeCell ref="G24:J24"/>
    <mergeCell ref="G25:J25"/>
    <mergeCell ref="A54:I54"/>
    <mergeCell ref="D12:J12"/>
    <mergeCell ref="D19:I19"/>
    <mergeCell ref="G23:J23"/>
    <mergeCell ref="G22:J22"/>
    <mergeCell ref="D21:J21"/>
    <mergeCell ref="M6:O6"/>
    <mergeCell ref="D45:I45"/>
    <mergeCell ref="A48:I48"/>
    <mergeCell ref="A50:I50"/>
    <mergeCell ref="A52:I5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zoomScale="94" workbookViewId="0">
      <selection activeCell="H5" sqref="H5"/>
    </sheetView>
  </sheetViews>
  <sheetFormatPr baseColWidth="10" defaultRowHeight="14.4" x14ac:dyDescent="0.3"/>
  <cols>
    <col min="1" max="1" width="35.109375" customWidth="1"/>
    <col min="2" max="2" width="15.77734375" bestFit="1" customWidth="1"/>
    <col min="4" max="4" width="24.44140625" bestFit="1" customWidth="1"/>
    <col min="5" max="5" width="9.88671875" bestFit="1" customWidth="1"/>
    <col min="6" max="6" width="18.21875" bestFit="1" customWidth="1"/>
    <col min="7" max="7" width="24.88671875" customWidth="1"/>
    <col min="8" max="8" width="12.5546875" bestFit="1" customWidth="1"/>
    <col min="10" max="10" width="13.88671875" bestFit="1" customWidth="1"/>
    <col min="13" max="13" width="15.33203125" customWidth="1"/>
  </cols>
  <sheetData>
    <row r="1" spans="1:14" ht="15" thickBot="1" x14ac:dyDescent="0.35"/>
    <row r="2" spans="1:14" ht="21.6" thickBot="1" x14ac:dyDescent="0.45">
      <c r="A2" s="150" t="s">
        <v>22</v>
      </c>
      <c r="B2" s="151"/>
      <c r="C2" s="151"/>
      <c r="D2" s="151"/>
      <c r="E2" s="151"/>
      <c r="F2" s="151"/>
      <c r="G2" s="151"/>
      <c r="H2" s="151"/>
      <c r="I2" s="151"/>
      <c r="J2" s="152"/>
    </row>
    <row r="3" spans="1:14" ht="15" thickBot="1" x14ac:dyDescent="0.35"/>
    <row r="4" spans="1:14" ht="18.600000000000001" thickBot="1" x14ac:dyDescent="0.4">
      <c r="A4" s="153" t="s">
        <v>3</v>
      </c>
      <c r="B4" s="154"/>
      <c r="C4" s="154"/>
      <c r="D4" s="154"/>
      <c r="E4" s="154"/>
      <c r="F4" s="154"/>
      <c r="G4" s="154"/>
      <c r="H4" s="154"/>
      <c r="I4" s="154"/>
      <c r="J4" s="155"/>
    </row>
    <row r="5" spans="1:14" ht="15" thickBot="1" x14ac:dyDescent="0.35"/>
    <row r="6" spans="1:14" ht="15" thickBot="1" x14ac:dyDescent="0.35">
      <c r="B6" t="s">
        <v>4</v>
      </c>
      <c r="D6" s="168" t="s">
        <v>1</v>
      </c>
      <c r="E6" s="169"/>
      <c r="F6" s="169"/>
      <c r="G6" s="169"/>
      <c r="H6" s="169"/>
      <c r="I6" s="169"/>
      <c r="J6" s="170"/>
    </row>
    <row r="7" spans="1:14" ht="15" thickBot="1" x14ac:dyDescent="0.35">
      <c r="A7" t="s">
        <v>3</v>
      </c>
      <c r="D7" s="22" t="s">
        <v>21</v>
      </c>
      <c r="E7" s="24" t="s">
        <v>13</v>
      </c>
      <c r="F7" s="25" t="s">
        <v>10</v>
      </c>
      <c r="G7" s="24" t="s">
        <v>14</v>
      </c>
      <c r="H7" s="23" t="s">
        <v>9</v>
      </c>
      <c r="I7" s="26" t="s">
        <v>11</v>
      </c>
      <c r="J7" s="24" t="s">
        <v>12</v>
      </c>
      <c r="N7" t="s">
        <v>35</v>
      </c>
    </row>
    <row r="8" spans="1:14" x14ac:dyDescent="0.3">
      <c r="A8" s="1" t="s">
        <v>1</v>
      </c>
      <c r="B8" s="2">
        <v>1</v>
      </c>
      <c r="D8" s="28" t="s">
        <v>30</v>
      </c>
      <c r="E8" s="8">
        <v>1</v>
      </c>
      <c r="F8" s="29" t="s">
        <v>31</v>
      </c>
      <c r="G8" s="13">
        <v>3</v>
      </c>
      <c r="H8" s="30">
        <f t="shared" ref="H8:H14" si="0">+G8*E8</f>
        <v>3</v>
      </c>
      <c r="I8" s="37">
        <v>0.5</v>
      </c>
      <c r="J8" s="36">
        <f>+I8*H8</f>
        <v>1.5</v>
      </c>
      <c r="L8" s="5" t="s">
        <v>35</v>
      </c>
      <c r="M8" t="s">
        <v>13</v>
      </c>
      <c r="N8" t="s">
        <v>36</v>
      </c>
    </row>
    <row r="9" spans="1:14" x14ac:dyDescent="0.3">
      <c r="A9" s="1" t="s">
        <v>2</v>
      </c>
      <c r="B9" s="2">
        <v>1</v>
      </c>
      <c r="D9" s="6" t="s">
        <v>32</v>
      </c>
      <c r="E9" s="40">
        <v>1</v>
      </c>
      <c r="F9" s="41" t="s">
        <v>33</v>
      </c>
      <c r="G9" s="43">
        <v>2.5</v>
      </c>
      <c r="H9" s="16">
        <f t="shared" si="0"/>
        <v>2.5</v>
      </c>
      <c r="I9" s="46" t="s">
        <v>34</v>
      </c>
      <c r="J9" s="48">
        <v>0.1</v>
      </c>
      <c r="L9" s="44">
        <v>3</v>
      </c>
      <c r="M9" s="42">
        <v>15</v>
      </c>
      <c r="N9" s="47">
        <f>+L9/M9</f>
        <v>0.2</v>
      </c>
    </row>
    <row r="10" spans="1:14" x14ac:dyDescent="0.3">
      <c r="B10" s="1"/>
      <c r="D10" s="6" t="s">
        <v>38</v>
      </c>
      <c r="E10" s="9">
        <v>1</v>
      </c>
      <c r="F10" s="11" t="s">
        <v>39</v>
      </c>
      <c r="G10" s="14">
        <v>7</v>
      </c>
      <c r="H10" s="16">
        <f t="shared" si="0"/>
        <v>7</v>
      </c>
      <c r="I10" s="20"/>
      <c r="J10" s="18">
        <v>0.28999999999999998</v>
      </c>
      <c r="L10" s="45" t="s">
        <v>37</v>
      </c>
      <c r="M10" s="1">
        <v>1</v>
      </c>
    </row>
    <row r="11" spans="1:14" x14ac:dyDescent="0.3">
      <c r="D11" s="6" t="s">
        <v>40</v>
      </c>
      <c r="E11" s="9">
        <v>1</v>
      </c>
      <c r="F11" s="11" t="s">
        <v>41</v>
      </c>
      <c r="G11" s="14">
        <v>20</v>
      </c>
      <c r="H11" s="16">
        <f t="shared" si="0"/>
        <v>20</v>
      </c>
      <c r="I11" s="20"/>
      <c r="J11" s="18">
        <v>0.4</v>
      </c>
    </row>
    <row r="12" spans="1:14" x14ac:dyDescent="0.3">
      <c r="D12" s="6" t="s">
        <v>42</v>
      </c>
      <c r="E12" s="9">
        <v>1</v>
      </c>
      <c r="F12" s="11" t="s">
        <v>43</v>
      </c>
      <c r="G12" s="14">
        <v>4</v>
      </c>
      <c r="H12" s="16">
        <f t="shared" si="0"/>
        <v>4</v>
      </c>
      <c r="I12" s="20"/>
      <c r="J12" s="18">
        <v>0.13</v>
      </c>
      <c r="L12" s="44">
        <v>2.5</v>
      </c>
      <c r="M12" s="49">
        <v>1</v>
      </c>
    </row>
    <row r="13" spans="1:14" x14ac:dyDescent="0.3">
      <c r="D13" s="6" t="s">
        <v>44</v>
      </c>
      <c r="E13" s="9">
        <v>1</v>
      </c>
      <c r="F13" s="11" t="s">
        <v>45</v>
      </c>
      <c r="G13" s="14">
        <v>0.7</v>
      </c>
      <c r="H13" s="16">
        <f t="shared" si="0"/>
        <v>0.7</v>
      </c>
      <c r="I13" s="20"/>
      <c r="J13" s="18">
        <v>0.04</v>
      </c>
      <c r="L13" s="39">
        <v>0.1</v>
      </c>
      <c r="M13" s="45" t="s">
        <v>37</v>
      </c>
      <c r="N13">
        <f>+L13*M12/2.5</f>
        <v>0.04</v>
      </c>
    </row>
    <row r="14" spans="1:14" x14ac:dyDescent="0.3">
      <c r="D14" s="6" t="s">
        <v>46</v>
      </c>
      <c r="E14" s="9">
        <v>1</v>
      </c>
      <c r="F14" s="11" t="s">
        <v>47</v>
      </c>
      <c r="G14" s="14">
        <v>3</v>
      </c>
      <c r="H14" s="16">
        <f t="shared" si="0"/>
        <v>3</v>
      </c>
      <c r="I14" s="20"/>
      <c r="J14" s="18">
        <v>0.2</v>
      </c>
    </row>
    <row r="15" spans="1:14" x14ac:dyDescent="0.3">
      <c r="D15" s="6"/>
      <c r="E15" s="9"/>
      <c r="F15" s="11"/>
      <c r="G15" s="14"/>
      <c r="H15" s="16"/>
      <c r="I15" s="20"/>
      <c r="J15" s="18">
        <f t="shared" ref="J15:J21" si="1">+I15*H15</f>
        <v>0</v>
      </c>
      <c r="M15" t="s">
        <v>34</v>
      </c>
    </row>
    <row r="16" spans="1:14" x14ac:dyDescent="0.3">
      <c r="D16" s="6"/>
      <c r="E16" s="9"/>
      <c r="F16" s="11"/>
      <c r="G16" s="14"/>
      <c r="H16" s="16"/>
      <c r="I16" s="20"/>
      <c r="J16" s="18">
        <f t="shared" si="1"/>
        <v>0</v>
      </c>
    </row>
    <row r="17" spans="4:14" x14ac:dyDescent="0.3">
      <c r="D17" s="6"/>
      <c r="E17" s="9"/>
      <c r="F17" s="11"/>
      <c r="G17" s="14"/>
      <c r="H17" s="16"/>
      <c r="I17" s="20"/>
      <c r="J17" s="18">
        <f t="shared" si="1"/>
        <v>0</v>
      </c>
    </row>
    <row r="18" spans="4:14" x14ac:dyDescent="0.3">
      <c r="D18" s="6"/>
      <c r="E18" s="9"/>
      <c r="F18" s="11"/>
      <c r="G18" s="14"/>
      <c r="H18" s="16"/>
      <c r="I18" s="20"/>
      <c r="J18" s="18">
        <f t="shared" si="1"/>
        <v>0</v>
      </c>
    </row>
    <row r="19" spans="4:14" x14ac:dyDescent="0.3">
      <c r="D19" s="6"/>
      <c r="E19" s="9"/>
      <c r="F19" s="11"/>
      <c r="G19" s="14"/>
      <c r="H19" s="16"/>
      <c r="I19" s="20"/>
      <c r="J19" s="18">
        <f t="shared" si="1"/>
        <v>0</v>
      </c>
    </row>
    <row r="20" spans="4:14" x14ac:dyDescent="0.3">
      <c r="D20" s="6"/>
      <c r="E20" s="9"/>
      <c r="F20" s="11"/>
      <c r="G20" s="14"/>
      <c r="H20" s="16"/>
      <c r="I20" s="20"/>
      <c r="J20" s="18">
        <f t="shared" si="1"/>
        <v>0</v>
      </c>
    </row>
    <row r="21" spans="4:14" ht="15" thickBot="1" x14ac:dyDescent="0.35">
      <c r="D21" s="7"/>
      <c r="E21" s="10"/>
      <c r="F21" s="12"/>
      <c r="G21" s="15"/>
      <c r="H21" s="17"/>
      <c r="I21" s="21"/>
      <c r="J21" s="19">
        <f t="shared" si="1"/>
        <v>0</v>
      </c>
    </row>
    <row r="22" spans="4:14" ht="16.2" thickBot="1" x14ac:dyDescent="0.35">
      <c r="D22" s="3"/>
      <c r="E22" s="3"/>
      <c r="F22" s="3"/>
      <c r="G22" s="3"/>
      <c r="H22" s="3"/>
      <c r="I22" s="3"/>
      <c r="J22" s="32">
        <f>SUM(J8:J21)</f>
        <v>2.66</v>
      </c>
    </row>
    <row r="23" spans="4:14" ht="15" thickBot="1" x14ac:dyDescent="0.35">
      <c r="D23" s="3"/>
      <c r="E23" s="3"/>
      <c r="F23" s="3"/>
      <c r="G23" s="3"/>
      <c r="H23" s="3"/>
      <c r="I23" s="3"/>
      <c r="J23" s="4"/>
    </row>
    <row r="24" spans="4:14" ht="15" thickBot="1" x14ac:dyDescent="0.35">
      <c r="D24" s="128" t="s">
        <v>20</v>
      </c>
      <c r="E24" s="129"/>
      <c r="F24" s="129"/>
      <c r="G24" s="130"/>
      <c r="H24" s="27"/>
      <c r="I24" s="27"/>
      <c r="J24" s="27"/>
      <c r="K24" s="55" t="s">
        <v>49</v>
      </c>
      <c r="L24" s="56" t="s">
        <v>48</v>
      </c>
    </row>
    <row r="25" spans="4:14" x14ac:dyDescent="0.3">
      <c r="D25" s="68" t="s">
        <v>23</v>
      </c>
      <c r="E25" s="69" t="s">
        <v>16</v>
      </c>
      <c r="F25" s="70" t="s">
        <v>15</v>
      </c>
      <c r="G25" s="69" t="s">
        <v>9</v>
      </c>
      <c r="J25" s="4"/>
      <c r="K25" s="51">
        <v>1</v>
      </c>
      <c r="L25" s="52">
        <v>4</v>
      </c>
      <c r="N25" s="50">
        <f>1/4</f>
        <v>0.25</v>
      </c>
    </row>
    <row r="26" spans="4:14" ht="15" thickBot="1" x14ac:dyDescent="0.35">
      <c r="D26" s="1" t="s">
        <v>61</v>
      </c>
      <c r="E26" s="57">
        <v>0.25</v>
      </c>
      <c r="F26" s="71">
        <v>4</v>
      </c>
      <c r="G26" s="39">
        <f>+F26*E26</f>
        <v>1</v>
      </c>
      <c r="J26" s="4"/>
      <c r="K26" s="53" t="s">
        <v>37</v>
      </c>
      <c r="L26" s="54">
        <v>1</v>
      </c>
    </row>
    <row r="27" spans="4:14" x14ac:dyDescent="0.3">
      <c r="D27" s="1" t="s">
        <v>62</v>
      </c>
      <c r="E27" s="57">
        <v>0.5</v>
      </c>
      <c r="F27" s="71">
        <v>4</v>
      </c>
      <c r="G27" s="39">
        <f>+F27*E27</f>
        <v>2</v>
      </c>
      <c r="J27" s="4"/>
      <c r="K27" s="61"/>
      <c r="L27" s="3"/>
    </row>
    <row r="28" spans="4:14" ht="15.6" x14ac:dyDescent="0.3">
      <c r="G28" s="33">
        <f>+G27+G26</f>
        <v>3</v>
      </c>
      <c r="J28" s="4"/>
    </row>
    <row r="29" spans="4:14" ht="15" thickBot="1" x14ac:dyDescent="0.35">
      <c r="J29" s="4"/>
      <c r="L29" t="s">
        <v>35</v>
      </c>
      <c r="M29" t="s">
        <v>56</v>
      </c>
    </row>
    <row r="30" spans="4:14" ht="16.2" thickBot="1" x14ac:dyDescent="0.35">
      <c r="D30" s="128" t="s">
        <v>24</v>
      </c>
      <c r="E30" s="129"/>
      <c r="F30" s="129"/>
      <c r="G30" s="129"/>
      <c r="H30" s="129"/>
      <c r="I30" s="130"/>
      <c r="J30" s="32">
        <f>+G28+J22</f>
        <v>5.66</v>
      </c>
      <c r="L30">
        <v>25</v>
      </c>
      <c r="M30">
        <v>30</v>
      </c>
    </row>
    <row r="31" spans="4:14" x14ac:dyDescent="0.3">
      <c r="J31" s="4"/>
      <c r="M31">
        <v>1</v>
      </c>
    </row>
    <row r="32" spans="4:14" ht="15" thickBot="1" x14ac:dyDescent="0.35">
      <c r="J32" s="4"/>
      <c r="L32">
        <f>+L30/M30</f>
        <v>0.83333333333333337</v>
      </c>
      <c r="M32">
        <f>+L32/8</f>
        <v>0.10416666666666667</v>
      </c>
    </row>
    <row r="33" spans="1:14" ht="18.600000000000001" thickBot="1" x14ac:dyDescent="0.4">
      <c r="A33" s="162" t="s">
        <v>0</v>
      </c>
      <c r="B33" s="163"/>
      <c r="C33" s="163"/>
      <c r="D33" s="163"/>
      <c r="E33" s="163"/>
      <c r="F33" s="163"/>
      <c r="G33" s="163"/>
      <c r="H33" s="163"/>
      <c r="I33" s="163"/>
      <c r="J33" s="164"/>
      <c r="K33" s="34"/>
    </row>
    <row r="34" spans="1:14" ht="15" thickBot="1" x14ac:dyDescent="0.35"/>
    <row r="35" spans="1:14" x14ac:dyDescent="0.3">
      <c r="A35" t="s">
        <v>0</v>
      </c>
      <c r="D35" s="62" t="s">
        <v>25</v>
      </c>
      <c r="E35" s="64" t="s">
        <v>13</v>
      </c>
      <c r="F35" s="62" t="s">
        <v>18</v>
      </c>
      <c r="G35" s="64" t="s">
        <v>17</v>
      </c>
      <c r="H35" s="62"/>
      <c r="L35" s="57" t="s">
        <v>50</v>
      </c>
      <c r="M35" s="57" t="s">
        <v>16</v>
      </c>
      <c r="N35" s="50" t="s">
        <v>50</v>
      </c>
    </row>
    <row r="36" spans="1:14" x14ac:dyDescent="0.3">
      <c r="A36" s="1" t="s">
        <v>5</v>
      </c>
      <c r="B36" s="2">
        <v>0.1</v>
      </c>
      <c r="D36" s="1" t="s">
        <v>34</v>
      </c>
      <c r="E36" s="1" t="s">
        <v>34</v>
      </c>
      <c r="F36" s="71" t="s">
        <v>34</v>
      </c>
      <c r="G36" s="74" t="s">
        <v>34</v>
      </c>
      <c r="H36" s="39" t="s">
        <v>34</v>
      </c>
      <c r="L36" s="45">
        <v>25</v>
      </c>
      <c r="M36" s="45">
        <v>8</v>
      </c>
    </row>
    <row r="37" spans="1:14" x14ac:dyDescent="0.3">
      <c r="A37" s="1" t="s">
        <v>6</v>
      </c>
      <c r="B37" s="2">
        <v>0.05</v>
      </c>
      <c r="D37" s="1" t="s">
        <v>57</v>
      </c>
      <c r="E37" s="1">
        <v>1</v>
      </c>
      <c r="F37" s="39">
        <v>10</v>
      </c>
      <c r="G37" s="75">
        <v>1</v>
      </c>
      <c r="H37" s="39">
        <f>+G37*F37</f>
        <v>10</v>
      </c>
      <c r="L37" s="45" t="s">
        <v>37</v>
      </c>
      <c r="M37" s="45">
        <v>1</v>
      </c>
      <c r="N37" s="50">
        <f>+L36/8</f>
        <v>3.125</v>
      </c>
    </row>
    <row r="38" spans="1:14" x14ac:dyDescent="0.3">
      <c r="A38" s="1"/>
      <c r="B38" s="2"/>
      <c r="D38" s="1" t="s">
        <v>58</v>
      </c>
      <c r="E38" s="1">
        <v>1</v>
      </c>
      <c r="F38" s="39">
        <v>25</v>
      </c>
      <c r="G38" s="75">
        <v>1</v>
      </c>
      <c r="H38" s="39">
        <f>+G38*F38</f>
        <v>25</v>
      </c>
      <c r="L38" s="61"/>
      <c r="M38" s="61"/>
      <c r="N38" s="50"/>
    </row>
    <row r="39" spans="1:14" x14ac:dyDescent="0.3">
      <c r="A39" s="1"/>
      <c r="B39" s="2"/>
      <c r="D39" s="1" t="s">
        <v>8</v>
      </c>
      <c r="E39" s="1">
        <v>1</v>
      </c>
      <c r="F39" s="39">
        <v>25</v>
      </c>
      <c r="G39" s="75">
        <v>1</v>
      </c>
      <c r="H39" s="39">
        <f t="shared" ref="H39" si="2">+G39*F39</f>
        <v>25</v>
      </c>
      <c r="L39" s="61"/>
      <c r="M39" s="61"/>
      <c r="N39" s="50"/>
    </row>
    <row r="40" spans="1:14" x14ac:dyDescent="0.3">
      <c r="A40" s="1" t="s">
        <v>7</v>
      </c>
      <c r="B40" s="2">
        <v>0.1</v>
      </c>
      <c r="D40" s="1" t="s">
        <v>51</v>
      </c>
      <c r="E40" s="1">
        <v>1</v>
      </c>
      <c r="F40" s="39">
        <v>25</v>
      </c>
      <c r="G40" s="75">
        <v>1</v>
      </c>
      <c r="H40" s="39">
        <f>+G40*F40</f>
        <v>25</v>
      </c>
    </row>
    <row r="41" spans="1:14" x14ac:dyDescent="0.3">
      <c r="A41" s="1"/>
      <c r="B41" s="2"/>
      <c r="D41" s="76" t="s">
        <v>19</v>
      </c>
      <c r="E41" s="1">
        <v>1</v>
      </c>
      <c r="F41" s="39">
        <v>100</v>
      </c>
      <c r="G41" s="75">
        <v>1</v>
      </c>
      <c r="H41" s="39">
        <f>+G41*F41</f>
        <v>100</v>
      </c>
    </row>
    <row r="42" spans="1:14" x14ac:dyDescent="0.3">
      <c r="A42" s="1" t="s">
        <v>8</v>
      </c>
      <c r="B42" s="2">
        <v>0.1</v>
      </c>
      <c r="D42" s="5"/>
      <c r="F42" t="s">
        <v>34</v>
      </c>
      <c r="G42" s="72" t="s">
        <v>59</v>
      </c>
      <c r="H42" s="73">
        <f>SUM(H36:H41)</f>
        <v>185</v>
      </c>
      <c r="L42" s="57" t="s">
        <v>50</v>
      </c>
      <c r="M42" s="57" t="s">
        <v>17</v>
      </c>
    </row>
    <row r="43" spans="1:14" ht="15" thickBot="1" x14ac:dyDescent="0.35">
      <c r="A43" s="3"/>
      <c r="B43" s="2"/>
      <c r="D43" s="5"/>
      <c r="G43" s="65" t="s">
        <v>60</v>
      </c>
      <c r="H43" s="66">
        <v>105</v>
      </c>
      <c r="L43" s="57"/>
      <c r="M43" s="57"/>
    </row>
    <row r="44" spans="1:14" x14ac:dyDescent="0.3">
      <c r="A44" s="3"/>
      <c r="B44" s="2"/>
      <c r="D44" s="5"/>
      <c r="H44" s="4">
        <f>+H42/H43</f>
        <v>1.7619047619047619</v>
      </c>
      <c r="L44" s="57"/>
      <c r="M44" s="57"/>
    </row>
    <row r="45" spans="1:14" ht="15" thickBot="1" x14ac:dyDescent="0.35">
      <c r="B45" s="1"/>
      <c r="L45" s="45">
        <v>25</v>
      </c>
      <c r="M45" s="59">
        <v>1</v>
      </c>
    </row>
    <row r="46" spans="1:14" ht="16.2" thickBot="1" x14ac:dyDescent="0.35">
      <c r="B46" s="3"/>
      <c r="D46" s="128" t="s">
        <v>26</v>
      </c>
      <c r="E46" s="129"/>
      <c r="F46" s="129"/>
      <c r="G46" s="129"/>
      <c r="H46" s="129"/>
      <c r="I46" s="130"/>
      <c r="J46" s="32">
        <f>+H44</f>
        <v>1.7619047619047619</v>
      </c>
      <c r="L46" s="45">
        <v>1</v>
      </c>
      <c r="M46" s="45" t="s">
        <v>37</v>
      </c>
      <c r="N46" s="58">
        <v>0.25</v>
      </c>
    </row>
    <row r="48" spans="1:14" ht="15" thickBot="1" x14ac:dyDescent="0.35">
      <c r="B48" s="4"/>
    </row>
    <row r="49" spans="1:15" ht="16.2" thickBot="1" x14ac:dyDescent="0.35">
      <c r="A49" s="131" t="s">
        <v>27</v>
      </c>
      <c r="B49" s="132"/>
      <c r="C49" s="132"/>
      <c r="D49" s="132"/>
      <c r="E49" s="132"/>
      <c r="F49" s="132"/>
      <c r="G49" s="132"/>
      <c r="H49" s="132"/>
      <c r="I49" s="133"/>
      <c r="J49" s="35">
        <f>+J46+J30</f>
        <v>7.421904761904762</v>
      </c>
      <c r="L49" t="s">
        <v>34</v>
      </c>
    </row>
    <row r="50" spans="1:15" ht="15" thickBot="1" x14ac:dyDescent="0.35">
      <c r="B50" s="4"/>
    </row>
    <row r="51" spans="1:15" ht="16.2" thickBot="1" x14ac:dyDescent="0.35">
      <c r="A51" s="131" t="s">
        <v>55</v>
      </c>
      <c r="B51" s="132"/>
      <c r="C51" s="132"/>
      <c r="D51" s="132"/>
      <c r="E51" s="132"/>
      <c r="F51" s="132"/>
      <c r="G51" s="132"/>
      <c r="H51" s="132"/>
      <c r="I51" s="134"/>
      <c r="J51" s="32">
        <f>+J49*0.3</f>
        <v>2.2265714285714284</v>
      </c>
      <c r="L51" s="57" t="s">
        <v>52</v>
      </c>
      <c r="M51" s="60" t="s">
        <v>53</v>
      </c>
      <c r="N51" s="60" t="s">
        <v>54</v>
      </c>
      <c r="O51" s="60" t="s">
        <v>49</v>
      </c>
    </row>
    <row r="52" spans="1:15" ht="15" thickBot="1" x14ac:dyDescent="0.35">
      <c r="L52" s="1">
        <v>600</v>
      </c>
      <c r="M52" s="1">
        <v>24</v>
      </c>
      <c r="N52" s="1">
        <f>+M52*21</f>
        <v>504</v>
      </c>
      <c r="O52" s="1">
        <f>+N52*8</f>
        <v>4032</v>
      </c>
    </row>
    <row r="53" spans="1:15" ht="16.2" thickBot="1" x14ac:dyDescent="0.35">
      <c r="A53" s="131" t="s">
        <v>28</v>
      </c>
      <c r="B53" s="132"/>
      <c r="C53" s="132"/>
      <c r="D53" s="132"/>
      <c r="E53" s="132"/>
      <c r="F53" s="132"/>
      <c r="G53" s="132"/>
      <c r="H53" s="132"/>
      <c r="I53" s="134"/>
      <c r="J53" s="31">
        <f>+J51+J49</f>
        <v>9.64847619047619</v>
      </c>
    </row>
    <row r="54" spans="1:15" ht="15" thickBot="1" x14ac:dyDescent="0.35">
      <c r="L54">
        <f>+L52/M52</f>
        <v>25</v>
      </c>
    </row>
    <row r="55" spans="1:15" ht="16.2" thickBot="1" x14ac:dyDescent="0.35">
      <c r="A55" s="131" t="s">
        <v>29</v>
      </c>
      <c r="B55" s="132"/>
      <c r="C55" s="132"/>
      <c r="D55" s="132"/>
      <c r="E55" s="132"/>
      <c r="F55" s="132"/>
      <c r="G55" s="132"/>
      <c r="H55" s="132"/>
      <c r="I55" s="134"/>
    </row>
  </sheetData>
  <mergeCells count="11">
    <mergeCell ref="A55:I55"/>
    <mergeCell ref="D6:J6"/>
    <mergeCell ref="A2:J2"/>
    <mergeCell ref="D24:G24"/>
    <mergeCell ref="D30:I30"/>
    <mergeCell ref="A4:J4"/>
    <mergeCell ref="A33:J33"/>
    <mergeCell ref="D46:I46"/>
    <mergeCell ref="A49:I49"/>
    <mergeCell ref="A51:I51"/>
    <mergeCell ref="A53:I5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TRICIPAPELERIA</vt:lpstr>
      <vt:lpstr>MODELO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Cruz</dc:creator>
  <cp:lastModifiedBy>Josué Merino Calderón</cp:lastModifiedBy>
  <dcterms:created xsi:type="dcterms:W3CDTF">2022-11-15T13:01:10Z</dcterms:created>
  <dcterms:modified xsi:type="dcterms:W3CDTF">2025-10-28T16:51:49Z</dcterms:modified>
</cp:coreProperties>
</file>